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<sst xmlns="http://schemas.openxmlformats.org/spreadsheetml/2006/main" count="65" uniqueCount="61">
  <si>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MangoBox — รายการวัสดุและงบประมาณ (BOM)</t>
  </si>
  <si>
    <t xml:space="preserve">เวิร์กช็อป ESP32 · คณะวิศวกรรมศาสตร์ ม.บูรพา × ร.ร.พลูตาหลวงวิทยา · 13 ก.ค. 2569</t>
  </si>
  <si>
    <t xml:space="preserve">จำนวนชุดปฏิบัติการ</t>
  </si>
  <si>
    <t xml:space="preserve">← ปรับได้</t>
  </si>
  <si>
    <t xml:space="preserve">งบประมาณรวม (บาท)</t>
  </si>
  <si>
    <t xml:space="preserve">ก)  อุปกรณ์ต่อ 1 ชุด (Core per set)</t>
  </si>
  <si>
    <t xml:space="preserve">ลำดับ</t>
  </si>
  <si>
    <t xml:space="preserve">รายการ</t>
  </si>
  <si>
    <t xml:space="preserve">รายละเอียด</t>
  </si>
  <si>
    <t xml:space="preserve">จำนวน/ชุด</t>
  </si>
  <si>
    <t xml:space="preserve">ราคา/หน่วย (บาท)</t>
  </si>
  <si>
    <t xml:space="preserve">รวม/ชุด (บาท)</t>
  </si>
  <si>
    <t xml:space="preserve">ESP32-S3 N16R8 (DevKitC-1)</t>
  </si>
  <si>
    <t xml:space="preserve">ตัวประมวลผล + WiFi/BT · 16MB Flash / 8MB PSRAM · มีช่องต่อกล้อง FPC (ต่อยอด AI ได้)</t>
  </si>
  <si>
    <t xml:space="preserve">SGP30</t>
  </si>
  <si>
    <t xml:space="preserve">เซ็นเซอร์แก๊ส TVOC (ppb) + eCO2</t>
  </si>
  <si>
    <t xml:space="preserve">TCS34725</t>
  </si>
  <si>
    <t xml:space="preserve">เซ็นเซอร์สีเปลือก (RGB)</t>
  </si>
  <si>
    <t xml:space="preserve">BME280</t>
  </si>
  <si>
    <t xml:space="preserve">อุณหภูมิ / ความชื้น</t>
  </si>
  <si>
    <t xml:space="preserve">OLED SSD1306 0.96"</t>
  </si>
  <si>
    <t xml:space="preserve">จอแสดงผล I2C</t>
  </si>
  <si>
    <t xml:space="preserve">พัดลม 5V 40mm</t>
  </si>
  <si>
    <t xml:space="preserve">กวนอากาศในกล่อง</t>
  </si>
  <si>
    <t xml:space="preserve">ทรานซิสเตอร์+ไดโอด+R</t>
  </si>
  <si>
    <t xml:space="preserve">ชุดขับพัดลม (2N2222, 1N4007, 1kΩ)</t>
  </si>
  <si>
    <t xml:space="preserve">เบรดบอร์ด 830 จุด</t>
  </si>
  <si>
    <t xml:space="preserve">ต่อวงจร</t>
  </si>
  <si>
    <t xml:space="preserve">สายจัมเปอร์ (คละ)</t>
  </si>
  <si>
    <t xml:space="preserve">M-M / M-F</t>
  </si>
  <si>
    <t xml:space="preserve">สาย USB micro</t>
  </si>
  <si>
    <t xml:space="preserve">อัปโหลด / จ่ายไฟ</t>
  </si>
  <si>
    <t xml:space="preserve">กล่อง/ถุงพลาสติกใส</t>
  </si>
  <si>
    <t xml:space="preserve">ห้องปิด (chamber)</t>
  </si>
  <si>
    <t xml:space="preserve">ต้นทุนต่อ 1 ชุด</t>
  </si>
  <si>
    <t xml:space="preserve">รวมชุดปฏิบัติการทั้งหมด  (จำนวนชุด × ต้นทุน/ชุด)</t>
  </si>
  <si>
    <t xml:space="preserve">ข)  อุปกรณ์ส่วนกลาง / อะไหล่สำรอง / วัสดุสิ้นเปลือง  (ซื้อครั้งเดียว)</t>
  </si>
  <si>
    <t xml:space="preserve">จำนวน</t>
  </si>
  <si>
    <t xml:space="preserve">รวม (บาท)</t>
  </si>
  <si>
    <t xml:space="preserve">ESP32-S3 สำรอง</t>
  </si>
  <si>
    <t xml:space="preserve">เผื่อบอร์ดเสียหน้างาน</t>
  </si>
  <si>
    <t xml:space="preserve">SGP30 สำรอง</t>
  </si>
  <si>
    <t xml:space="preserve">เซ็นเซอร์แก๊สสำรอง</t>
  </si>
  <si>
    <t xml:space="preserve">ชุดสาธิตสารดูดซับ</t>
  </si>
  <si>
    <t xml:space="preserve">ด่างทับทิม (KMnO₄) / ถ่านกัมมันต์</t>
  </si>
  <si>
    <t xml:space="preserve">ผลไม้สาธิต</t>
  </si>
  <si>
    <t xml:space="preserve">กล้วยสุกงอม + มะม่วงดิบ/สุก</t>
  </si>
  <si>
    <t xml:space="preserve">พาวเวอร์แบงก์</t>
  </si>
  <si>
    <t xml:space="preserve">พกพาตอนแข่ง/สาธิต</t>
  </si>
  <si>
    <t xml:space="preserve">กล่องจัดเก็บ + ป้ายชื่อชุด</t>
  </si>
  <si>
    <t xml:space="preserve">จัดชุดอุปกรณ์ให้เป็นระเบียบ</t>
  </si>
  <si>
    <t xml:space="preserve">ชุดสมบูรณ์เก็บให้โรงเรียน</t>
  </si>
  <si>
    <t xml:space="preserve">ไว้ซ้อมต่อก่อนแข่ง 23–26 ก.ค.</t>
  </si>
  <si>
    <t xml:space="preserve">รวมส่วนกลาง / สำรอง / สิ้นเปลือง</t>
  </si>
  <si>
    <t xml:space="preserve">ค)  สรุปงบประมาณ</t>
  </si>
  <si>
    <t xml:space="preserve">รวมชุดปฏิบัติการ</t>
  </si>
  <si>
    <t xml:space="preserve">รวมส่วนกลาง / สำรอง</t>
  </si>
  <si>
    <t xml:space="preserve">รวมทั้งสิ้น</t>
  </si>
  <si>
    <t xml:space="preserve">งบประมาณ</t>
  </si>
  <si>
    <t xml:space="preserve">คงเหลือ</t>
  </si>
  <si>
    <t xml:space="preserve">หมายเหตุ: ราคาเป็นค่าประมาณตลาดไทย (อาจต่างตามร้าน) · SGP40 ของ Adafruit แท้ราคาสูงกว่า (~550 บาท) หากต้องการความแม่นสูง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</si>
</sst>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D32"/>
      <name val="Tahoma"/>
      <family val="0"/>
      <charset val="1"/>
    </font>
    <font>
      <sz val="10"/>
      <color rgb="FF6B7A6E"/>
      <name val="Tahoma"/>
      <family val="0"/>
      <charset val="1"/>
    </font>
    <font>
      <b val="true"/>
      <sz val="11"/>
      <color rgb="FF233026"/>
      <name val="Tahoma"/>
      <family val="0"/>
      <charset val="1"/>
    </font>
    <font>
      <b val="true"/>
      <sz val="11"/>
      <color rgb="FF0000FF"/>
      <name val="Tahoma"/>
      <family val="0"/>
      <charset val="1"/>
    </font>
    <font>
      <sz val="9"/>
      <color rgb="FF6B7A6E"/>
      <name val="Tahoma"/>
      <family val="0"/>
      <charset val="1"/>
    </font>
    <font>
      <b val="true"/>
      <sz val="12"/>
      <color rgb="FF1F3D2B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1"/>
      <color rgb="FF233026"/>
      <name val="Tahoma"/>
      <family val="0"/>
      <charset val="1"/>
    </font>
    <font>
      <sz val="11"/>
      <color rgb="FF6B7A6E"/>
      <name val="Tahoma"/>
      <family val="0"/>
      <charset val="1"/>
    </font>
    <font>
      <sz val="11"/>
      <color rgb="FF0000FF"/>
      <name val="Tahoma"/>
      <family val="0"/>
      <charset val="1"/>
    </font>
    <font>
      <b val="true"/>
      <sz val="11"/>
      <color rgb="FF2E7D32"/>
      <name val="Tahoma"/>
      <family val="0"/>
      <charset val="1"/>
    </font>
    <font>
      <i val="true"/>
      <sz val="9"/>
      <color rgb="FF6B7A6E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3E3"/>
        <bgColor rgb="FFEAF4EC"/>
      </patternFill>
    </fill>
    <fill>
      <patternFill patternType="solid">
        <fgColor rgb="FF2E7D32"/>
        <bgColor rgb="FF008000"/>
      </patternFill>
    </fill>
    <fill>
      <patternFill patternType="solid">
        <fgColor rgb="FFEAF4EC"/>
        <bgColor rgb="FFFBF3E3"/>
      </patternFill>
    </fill>
    <fill>
      <patternFill patternType="solid">
        <fgColor rgb="FF1F3D2B"/>
        <bgColor rgb="FF23302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6CB"/>
      </left>
      <right style="thin">
        <color rgb="FFC9D6CB"/>
      </right>
      <top style="thin">
        <color rgb="FFC9D6CB"/>
      </top>
      <bottom style="thin">
        <color rgb="FFC9D6CB"/>
      </bottom>
      <diagonal/>
    </border>
    <border diagonalUp="false" diagonalDown="false">
      <left style="thin">
        <color rgb="FFC9D6CB"/>
      </left>
      <right/>
      <top style="thin">
        <color rgb="FFC9D6CB"/>
      </top>
      <bottom style="thin">
        <color rgb="FFC9D6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B"/>
      <rgbColor rgb="FF6B7A6E"/>
      <rgbColor rgb="FF9999FF"/>
      <rgbColor rgb="FF993366"/>
      <rgbColor rgb="FFFBF3E3"/>
      <rgbColor rgb="FFEA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1F3D2B"/>
      <rgbColor rgb="FF993300"/>
      <rgbColor rgb="FF993366"/>
      <rgbColor rgb="FF333399"/>
      <rgbColor rgb="FF2330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6" min="5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4" t="s">
        <v>2</v>
      </c>
      <c r="D4" s="5" t="n">
        <v>4</v>
      </c>
      <c r="F4" s="6" t="s">
        <v>3</v>
      </c>
    </row>
    <row r="5" customFormat="false" ht="15" hidden="false" customHeight="true" outlineLevel="0" collapsed="false">
      <c r="B5" s="4" t="s">
        <v>4</v>
      </c>
      <c r="D5" s="7" t="n">
        <v>15000</v>
      </c>
      <c r="F5" s="6" t="s">
        <v>3</v>
      </c>
    </row>
    <row r="7" customFormat="false" ht="15" hidden="false" customHeight="true" outlineLevel="0" collapsed="false">
      <c r="A7" s="8" t="s">
        <v>5</v>
      </c>
    </row>
    <row r="8" customFormat="false" ht="15" hidden="false" customHeight="true" outlineLevel="0" collapsed="false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</row>
    <row r="9" customFormat="false" ht="15" hidden="false" customHeight="true" outlineLevel="0" collapsed="false">
      <c r="A9" s="10" t="n">
        <v>1</v>
      </c>
      <c r="B9" s="11" t="s">
        <v>12</v>
      </c>
      <c r="C9" s="12" t="s">
        <v>13</v>
      </c>
      <c r="D9" s="13" t="n">
        <v>1</v>
      </c>
      <c r="E9" s="14" t="n">
        <v>280</v>
      </c>
      <c r="F9" s="15" t="n">
        <f aca="false">D9*E9</f>
        <v>280</v>
      </c>
    </row>
    <row r="10" customFormat="false" ht="15" hidden="false" customHeight="true" outlineLevel="0" collapsed="false">
      <c r="A10" s="10" t="n">
        <v>2</v>
      </c>
      <c r="B10" s="11" t="s">
        <v>14</v>
      </c>
      <c r="C10" s="12" t="s">
        <v>15</v>
      </c>
      <c r="D10" s="13" t="n">
        <v>1</v>
      </c>
      <c r="E10" s="14" t="n">
        <v>270</v>
      </c>
      <c r="F10" s="15" t="n">
        <f aca="false">D10*E10</f>
        <v>270</v>
      </c>
    </row>
    <row r="11" customFormat="false" ht="15" hidden="false" customHeight="true" outlineLevel="0" collapsed="false">
      <c r="A11" s="10" t="n">
        <v>3</v>
      </c>
      <c r="B11" s="11" t="s">
        <v>16</v>
      </c>
      <c r="C11" s="12" t="s">
        <v>17</v>
      </c>
      <c r="D11" s="13" t="n">
        <v>1</v>
      </c>
      <c r="E11" s="14" t="n">
        <v>130</v>
      </c>
      <c r="F11" s="15" t="n">
        <f aca="false">D11*E11</f>
        <v>130</v>
      </c>
    </row>
    <row r="12" customFormat="false" ht="15" hidden="false" customHeight="true" outlineLevel="0" collapsed="false">
      <c r="A12" s="10" t="n">
        <v>4</v>
      </c>
      <c r="B12" s="11" t="s">
        <v>18</v>
      </c>
      <c r="C12" s="12" t="s">
        <v>19</v>
      </c>
      <c r="D12" s="13" t="n">
        <v>1</v>
      </c>
      <c r="E12" s="14" t="n">
        <v>95</v>
      </c>
      <c r="F12" s="15" t="n">
        <f aca="false">D12*E12</f>
        <v>95</v>
      </c>
    </row>
    <row r="13" customFormat="false" ht="15" hidden="false" customHeight="true" outlineLevel="0" collapsed="false">
      <c r="A13" s="10" t="n">
        <v>5</v>
      </c>
      <c r="B13" s="11" t="s">
        <v>20</v>
      </c>
      <c r="C13" s="12" t="s">
        <v>21</v>
      </c>
      <c r="D13" s="13" t="n">
        <v>1</v>
      </c>
      <c r="E13" s="14" t="n">
        <v>75</v>
      </c>
      <c r="F13" s="15" t="n">
        <f aca="false">D13*E13</f>
        <v>75</v>
      </c>
    </row>
    <row r="14" customFormat="false" ht="15" hidden="false" customHeight="true" outlineLevel="0" collapsed="false">
      <c r="A14" s="10" t="n">
        <v>6</v>
      </c>
      <c r="B14" s="11" t="s">
        <v>22</v>
      </c>
      <c r="C14" s="12" t="s">
        <v>23</v>
      </c>
      <c r="D14" s="13" t="n">
        <v>1</v>
      </c>
      <c r="E14" s="14" t="n">
        <v>45</v>
      </c>
      <c r="F14" s="15" t="n">
        <f aca="false">D14*E14</f>
        <v>45</v>
      </c>
    </row>
    <row r="15" customFormat="false" ht="15" hidden="false" customHeight="true" outlineLevel="0" collapsed="false">
      <c r="A15" s="10" t="n">
        <v>7</v>
      </c>
      <c r="B15" s="11" t="s">
        <v>24</v>
      </c>
      <c r="C15" s="12" t="s">
        <v>25</v>
      </c>
      <c r="D15" s="13" t="n">
        <v>1</v>
      </c>
      <c r="E15" s="14" t="n">
        <v>15</v>
      </c>
      <c r="F15" s="15" t="n">
        <f aca="false">D15*E15</f>
        <v>15</v>
      </c>
    </row>
    <row r="16" customFormat="false" ht="15" hidden="false" customHeight="true" outlineLevel="0" collapsed="false">
      <c r="A16" s="10" t="n">
        <v>8</v>
      </c>
      <c r="B16" s="11" t="s">
        <v>26</v>
      </c>
      <c r="C16" s="12" t="s">
        <v>27</v>
      </c>
      <c r="D16" s="13" t="n">
        <v>1</v>
      </c>
      <c r="E16" s="14" t="n">
        <v>60</v>
      </c>
      <c r="F16" s="15" t="n">
        <f aca="false">D16*E16</f>
        <v>60</v>
      </c>
    </row>
    <row r="17" customFormat="false" ht="15" hidden="false" customHeight="true" outlineLevel="0" collapsed="false">
      <c r="A17" s="10" t="n">
        <v>9</v>
      </c>
      <c r="B17" s="11" t="s">
        <v>28</v>
      </c>
      <c r="C17" s="12" t="s">
        <v>29</v>
      </c>
      <c r="D17" s="13" t="n">
        <v>1</v>
      </c>
      <c r="E17" s="14" t="n">
        <v>80</v>
      </c>
      <c r="F17" s="15" t="n">
        <f aca="false">D17*E17</f>
        <v>80</v>
      </c>
    </row>
    <row r="18" customFormat="false" ht="15" hidden="false" customHeight="true" outlineLevel="0" collapsed="false">
      <c r="A18" s="10" t="n">
        <v>10</v>
      </c>
      <c r="B18" s="11" t="s">
        <v>30</v>
      </c>
      <c r="C18" s="12" t="s">
        <v>31</v>
      </c>
      <c r="D18" s="13" t="n">
        <v>1</v>
      </c>
      <c r="E18" s="14" t="n">
        <v>35</v>
      </c>
      <c r="F18" s="15" t="n">
        <f aca="false">D18*E18</f>
        <v>35</v>
      </c>
    </row>
    <row r="19" customFormat="false" ht="15" hidden="false" customHeight="true" outlineLevel="0" collapsed="false">
      <c r="A19" s="10" t="n">
        <v>11</v>
      </c>
      <c r="B19" s="11" t="s">
        <v>32</v>
      </c>
      <c r="C19" s="12" t="s">
        <v>33</v>
      </c>
      <c r="D19" s="13" t="n">
        <v>1</v>
      </c>
      <c r="E19" s="14" t="n">
        <v>40</v>
      </c>
      <c r="F19" s="15" t="n">
        <f aca="false">D19*E19</f>
        <v>40</v>
      </c>
    </row>
    <row r="20" customFormat="false" ht="15" hidden="false" customHeight="true" outlineLevel="0" collapsed="false">
      <c r="A20" s="16"/>
      <c r="B20" s="17" t="s">
        <v>34</v>
      </c>
      <c r="C20" s="17"/>
      <c r="D20" s="17"/>
      <c r="E20" s="17"/>
      <c r="F20" s="18" t="n">
        <f aca="false">SUM(F9:F19)</f>
        <v>1125</v>
      </c>
    </row>
    <row r="21" customFormat="false" ht="15" hidden="false" customHeight="true" outlineLevel="0" collapsed="false">
      <c r="A21" s="11"/>
      <c r="B21" s="19" t="s">
        <v>35</v>
      </c>
      <c r="C21" s="19"/>
      <c r="D21" s="19"/>
      <c r="E21" s="19"/>
      <c r="F21" s="20" t="n">
        <f aca="false">D4*F20</f>
        <v>4500</v>
      </c>
    </row>
    <row r="23" customFormat="false" ht="15" hidden="false" customHeight="true" outlineLevel="0" collapsed="false">
      <c r="A23" s="8" t="s">
        <v>36</v>
      </c>
    </row>
    <row r="24" customFormat="false" ht="15" hidden="false" customHeight="true" outlineLevel="0" collapsed="false">
      <c r="A24" s="9"/>
      <c r="B24" s="9" t="s">
        <v>7</v>
      </c>
      <c r="C24" s="9" t="s">
        <v>8</v>
      </c>
      <c r="D24" s="9" t="s">
        <v>37</v>
      </c>
      <c r="E24" s="9" t="s">
        <v>10</v>
      </c>
      <c r="F24" s="9" t="s">
        <v>38</v>
      </c>
    </row>
    <row r="25" customFormat="false" ht="15" hidden="false" customHeight="true" outlineLevel="0" collapsed="false">
      <c r="A25" s="11"/>
      <c r="B25" s="11" t="s">
        <v>39</v>
      </c>
      <c r="C25" s="12" t="s">
        <v>40</v>
      </c>
      <c r="D25" s="13" t="n">
        <v>2</v>
      </c>
      <c r="E25" s="14" t="n">
        <v>280</v>
      </c>
      <c r="F25" s="15" t="n">
        <f aca="false">D25*E25</f>
        <v>560</v>
      </c>
    </row>
    <row r="26" customFormat="false" ht="15" hidden="false" customHeight="true" outlineLevel="0" collapsed="false">
      <c r="A26" s="11"/>
      <c r="B26" s="11" t="s">
        <v>41</v>
      </c>
      <c r="C26" s="12" t="s">
        <v>42</v>
      </c>
      <c r="D26" s="13" t="n">
        <v>1</v>
      </c>
      <c r="E26" s="14" t="n">
        <v>270</v>
      </c>
      <c r="F26" s="15" t="n">
        <f aca="false">D26*E26</f>
        <v>270</v>
      </c>
    </row>
    <row r="27" customFormat="false" ht="15" hidden="false" customHeight="true" outlineLevel="0" collapsed="false">
      <c r="A27" s="11"/>
      <c r="B27" s="11" t="s">
        <v>43</v>
      </c>
      <c r="C27" s="12" t="s">
        <v>44</v>
      </c>
      <c r="D27" s="13" t="n">
        <v>1</v>
      </c>
      <c r="E27" s="14" t="n">
        <v>150</v>
      </c>
      <c r="F27" s="15" t="n">
        <f aca="false">D27*E27</f>
        <v>150</v>
      </c>
    </row>
    <row r="28" customFormat="false" ht="15" hidden="false" customHeight="true" outlineLevel="0" collapsed="false">
      <c r="A28" s="11"/>
      <c r="B28" s="11" t="s">
        <v>45</v>
      </c>
      <c r="C28" s="12" t="s">
        <v>46</v>
      </c>
      <c r="D28" s="13" t="n">
        <v>1</v>
      </c>
      <c r="E28" s="14" t="n">
        <v>300</v>
      </c>
      <c r="F28" s="15" t="n">
        <f aca="false">D28*E28</f>
        <v>300</v>
      </c>
    </row>
    <row r="29" customFormat="false" ht="15" hidden="false" customHeight="true" outlineLevel="0" collapsed="false">
      <c r="A29" s="11"/>
      <c r="B29" s="11" t="s">
        <v>47</v>
      </c>
      <c r="C29" s="12" t="s">
        <v>48</v>
      </c>
      <c r="D29" s="13" t="n">
        <v>2</v>
      </c>
      <c r="E29" s="14" t="n">
        <v>300</v>
      </c>
      <c r="F29" s="15" t="n">
        <f aca="false">D29*E29</f>
        <v>600</v>
      </c>
    </row>
    <row r="30" customFormat="false" ht="15" hidden="false" customHeight="true" outlineLevel="0" collapsed="false">
      <c r="A30" s="11"/>
      <c r="B30" s="11" t="s">
        <v>49</v>
      </c>
      <c r="C30" s="12" t="s">
        <v>50</v>
      </c>
      <c r="D30" s="13" t="n">
        <v>1</v>
      </c>
      <c r="E30" s="14" t="n">
        <v>200</v>
      </c>
      <c r="F30" s="15" t="n">
        <f aca="false">D30*E30</f>
        <v>200</v>
      </c>
    </row>
    <row r="31" customFormat="false" ht="15" hidden="false" customHeight="true" outlineLevel="0" collapsed="false">
      <c r="A31" s="11"/>
      <c r="B31" s="11" t="s">
        <v>51</v>
      </c>
      <c r="C31" s="12" t="s">
        <v>52</v>
      </c>
      <c r="D31" s="13" t="n">
        <v>1</v>
      </c>
      <c r="E31" s="15" t="n">
        <f aca="false">F20</f>
        <v>1125</v>
      </c>
      <c r="F31" s="15" t="n">
        <f aca="false">D31*E31</f>
        <v>1125</v>
      </c>
    </row>
    <row r="32" customFormat="false" ht="15" hidden="false" customHeight="true" outlineLevel="0" collapsed="false">
      <c r="A32" s="16"/>
      <c r="B32" s="21" t="s">
        <v>53</v>
      </c>
      <c r="C32" s="21"/>
      <c r="D32" s="21"/>
      <c r="E32" s="21"/>
      <c r="F32" s="18" t="n">
        <f aca="false">SUM(F25:F31)</f>
        <v>3205</v>
      </c>
    </row>
    <row r="34" customFormat="false" ht="15" hidden="false" customHeight="true" outlineLevel="0" collapsed="false">
      <c r="A34" s="8" t="s">
        <v>54</v>
      </c>
    </row>
    <row r="35" customFormat="false" ht="15" hidden="false" customHeight="true" outlineLevel="0" collapsed="false">
      <c r="A35" s="11"/>
      <c r="B35" s="19" t="s">
        <v>55</v>
      </c>
      <c r="C35" s="19"/>
      <c r="D35" s="19"/>
      <c r="E35" s="19"/>
      <c r="F35" s="22" t="n">
        <f aca="false">F21</f>
        <v>4500</v>
      </c>
    </row>
    <row r="36" customFormat="false" ht="15" hidden="false" customHeight="true" outlineLevel="0" collapsed="false">
      <c r="A36" s="11"/>
      <c r="B36" s="19" t="s">
        <v>56</v>
      </c>
      <c r="C36" s="19"/>
      <c r="D36" s="19"/>
      <c r="E36" s="19"/>
      <c r="F36" s="22" t="n">
        <f aca="false">F32</f>
        <v>3205</v>
      </c>
    </row>
    <row r="37" customFormat="false" ht="15" hidden="false" customHeight="true" outlineLevel="0" collapsed="false">
      <c r="A37" s="23"/>
      <c r="B37" s="24" t="s">
        <v>57</v>
      </c>
      <c r="C37" s="24"/>
      <c r="D37" s="24"/>
      <c r="E37" s="24"/>
      <c r="F37" s="25" t="n">
        <f aca="false">F35+F36</f>
        <v>7705</v>
      </c>
    </row>
    <row r="38" customFormat="false" ht="15" hidden="false" customHeight="true" outlineLevel="0" collapsed="false">
      <c r="A38" s="11"/>
      <c r="B38" s="19" t="s">
        <v>58</v>
      </c>
      <c r="C38" s="19"/>
      <c r="D38" s="19"/>
      <c r="E38" s="19"/>
      <c r="F38" s="22" t="n">
        <f aca="false">D5</f>
        <v>15000</v>
      </c>
    </row>
    <row r="39" customFormat="false" ht="15" hidden="false" customHeight="true" outlineLevel="0" collapsed="false">
      <c r="A39" s="23"/>
      <c r="B39" s="24" t="s">
        <v>59</v>
      </c>
      <c r="C39" s="24"/>
      <c r="D39" s="24"/>
      <c r="E39" s="24"/>
      <c r="F39" s="25" t="n">
        <f aca="false">F38-F37</f>
        <v>7295</v>
      </c>
    </row>
    <row r="40" customFormat="false" ht="21.75" hidden="false" customHeight="true" outlineLevel="0" collapsed="false">
      <c r="A40" s="26" t="str">
        <f aca="false">IF(F39&gt;=0,"✓ อยู่ในงบประมาณ — คงเหลือ "&amp;TEXT(F39,"#,##0")&amp;" บาท (เผื่ออะไหล่เพิ่ม / อัปเกรดเซ็นเซอร์ / สำรองจ่าย)","⚠ เกินงบ "&amp;TEXT(-F39,"#,##0")&amp;" บาท")</f>
        <v>✓ อยู่ในงบประมาณ — คงเหลือ 7,295 บาท (เผื่ออะไหล่เพิ่ม / อัปเกรดเซ็นเซอร์ / สำรองจ่าย)</v>
      </c>
      <c r="B40" s="26"/>
      <c r="C40" s="26"/>
      <c r="D40" s="26"/>
      <c r="E40" s="26"/>
      <c r="F40" s="26"/>
    </row>
    <row r="41" customFormat="false" ht="11.25" hidden="false" customHeight="true" outlineLevel="0" collapsed="false">
      <c r="A41" s="27" t="s">
        <v>60</v>
      </c>
      <c r="B41" s="27"/>
      <c r="C41" s="27"/>
      <c r="D41" s="27"/>
      <c r="E41" s="27"/>
      <c r="F41" s="27"/>
    </row>
  </sheetData>
  <mergeCells count="12">
    <mergeCell ref="A1:F1"/>
    <mergeCell ref="A2:F2"/>
    <mergeCell ref="B20:E20"/>
    <mergeCell ref="B21:E21"/>
    <mergeCell ref="B32:E32"/>
    <mergeCell ref="B35:E35"/>
    <mergeCell ref="B36:E36"/>
    <mergeCell ref="B37:E37"/>
    <mergeCell ref="B38:E38"/>
    <mergeCell ref="B39:E39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2026-07-07T17:13:33Z</dcterms:created>
  <dc:creator>openpyxl</dc:creator>
  <dc:description/>
  <dc:language>en-US</dc:language>
  <cp:lastModifiedBy/>
  <dcterms:modified xsi:type="dcterms:W3CDTF">2026-07-12T18:08:28Z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